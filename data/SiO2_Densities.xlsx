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bos\Desktop\ALL_OPTIMISED_STRUCTURES\"/>
    </mc:Choice>
  </mc:AlternateContent>
  <xr:revisionPtr revIDLastSave="0" documentId="13_ncr:1_{EEB531F6-274C-499A-B482-7B89A5C5C9C6}" xr6:coauthVersionLast="47" xr6:coauthVersionMax="47" xr10:uidLastSave="{00000000-0000-0000-0000-000000000000}"/>
  <bookViews>
    <workbookView xWindow="-110" yWindow="-110" windowWidth="19420" windowHeight="11020" activeTab="1" xr2:uid="{AE11B7A1-DD5A-BC46-A2A7-0B6ECC61ED55}"/>
  </bookViews>
  <sheets>
    <sheet name="Lattice Parameters" sheetId="3" r:id="rId1"/>
    <sheet name="Density" sheetId="1" r:id="rId2"/>
    <sheet name="Bond Strai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  <c r="C38" i="1"/>
  <c r="C36" i="1"/>
  <c r="C35" i="1"/>
  <c r="C34" i="1"/>
  <c r="R15" i="1"/>
  <c r="R4" i="1"/>
  <c r="R5" i="1"/>
  <c r="R6" i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E16" i="3"/>
  <c r="E4" i="3"/>
  <c r="E5" i="3"/>
  <c r="E6" i="3"/>
  <c r="E7" i="3"/>
  <c r="E8" i="3"/>
  <c r="E9" i="3"/>
  <c r="E10" i="3"/>
  <c r="E11" i="3"/>
  <c r="E12" i="3"/>
  <c r="E13" i="3"/>
  <c r="E14" i="3"/>
  <c r="E15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" i="3"/>
  <c r="C37" i="1" l="1"/>
  <c r="C3" i="1"/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<sst xmlns="http://schemas.openxmlformats.org/spreadsheetml/2006/main" count="22" uniqueCount="17">
  <si>
    <t>Cell</t>
  </si>
  <si>
    <t>Density</t>
  </si>
  <si>
    <t>Sample</t>
  </si>
  <si>
    <t>Number of Strained Bonds</t>
  </si>
  <si>
    <t>&gt; = 1.65 A</t>
  </si>
  <si>
    <t>Lattice Parameter</t>
  </si>
  <si>
    <t>Teo Optimised</t>
  </si>
  <si>
    <t>Old Manesh</t>
  </si>
  <si>
    <t>Old Kamal</t>
  </si>
  <si>
    <t>Difference</t>
  </si>
  <si>
    <t>New Teo</t>
  </si>
  <si>
    <t>diff: Teo-Manesh</t>
  </si>
  <si>
    <t>Min =</t>
  </si>
  <si>
    <t>Max =</t>
  </si>
  <si>
    <t>Min/Max =</t>
  </si>
  <si>
    <t xml:space="preserve">STD = </t>
  </si>
  <si>
    <t xml:space="preserve">Mean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</si>
</sst>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Density!$C$2</c:f>
              <c:strCache>
                <c:ptCount val="1"/>
                <c:pt idx="0">
                  <c:v>Density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Density!$A$3:$A$32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Density!$C$3:$C$32</c:f>
              <c:numCache>
                <c:formatCode>0.0000</c:formatCode>
                <c:ptCount val="30"/>
                <c:pt idx="0">
                  <c:v>2.1485813936021221</c:v>
                </c:pt>
                <c:pt idx="1">
                  <c:v>2.1254708971777392</c:v>
                </c:pt>
                <c:pt idx="2">
                  <c:v>2.2357892864813982</c:v>
                </c:pt>
                <c:pt idx="3">
                  <c:v>2.1322837536414587</c:v>
                </c:pt>
                <c:pt idx="4">
                  <c:v>2.2614386281340941</c:v>
                </c:pt>
                <c:pt idx="5">
                  <c:v>2.1689695735187446</c:v>
                </c:pt>
                <c:pt idx="6">
                  <c:v>2.2353347961819741</c:v>
                </c:pt>
                <c:pt idx="7">
                  <c:v>2.1451365446730284</c:v>
                </c:pt>
                <c:pt idx="8">
                  <c:v>2.1953736221712883</c:v>
                </c:pt>
                <c:pt idx="9">
                  <c:v>2.1746543699152561</c:v>
                </c:pt>
                <c:pt idx="10">
                  <c:v>2.2339720641754965</c:v>
                </c:pt>
                <c:pt idx="11">
                  <c:v>2.2339720641754965</c:v>
                </c:pt>
                <c:pt idx="12">
                  <c:v>2.2303435233624178</c:v>
                </c:pt>
                <c:pt idx="13">
                  <c:v>2.2462766562927423</c:v>
                </c:pt>
                <c:pt idx="14">
                  <c:v>2.206055242950236</c:v>
                </c:pt>
                <c:pt idx="15">
                  <c:v>2.1026906563769754</c:v>
                </c:pt>
                <c:pt idx="16">
                  <c:v>2.1909432986964283</c:v>
                </c:pt>
                <c:pt idx="17">
                  <c:v>2.2226589253692972</c:v>
                </c:pt>
                <c:pt idx="18">
                  <c:v>2.2734806709718667</c:v>
                </c:pt>
                <c:pt idx="19">
                  <c:v>2.1777236443983807</c:v>
                </c:pt>
                <c:pt idx="20">
                  <c:v>2.10185320906267</c:v>
                </c:pt>
                <c:pt idx="21">
                  <c:v>2.1865248878911152</c:v>
                </c:pt>
                <c:pt idx="22">
                  <c:v>2.2020415315660564</c:v>
                </c:pt>
                <c:pt idx="23">
                  <c:v>2.2526924034968312</c:v>
                </c:pt>
                <c:pt idx="24">
                  <c:v>2.2471916987105653</c:v>
                </c:pt>
                <c:pt idx="25">
                  <c:v>2.1511698723471468</c:v>
                </c:pt>
                <c:pt idx="26">
                  <c:v>2.1102477403702067</c:v>
                </c:pt>
                <c:pt idx="27">
                  <c:v>2.1611309813991473</c:v>
                </c:pt>
                <c:pt idx="28">
                  <c:v>2.1161505278359956</c:v>
                </c:pt>
                <c:pt idx="29">
                  <c:v>2.2150095896805944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A-491F-8362-22A1329B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5055"/>
        <c:axId val="50089215"/>
      </c:barChart>
      <c:catAx>
        <c:axId val="50085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a-SiO2</a:t>
                </a:r>
                <a:r>
                  <a:rPr lang="en-GB" b="1" baseline="0">
                    <a:solidFill>
                      <a:sysClr val="windowText" lastClr="000000"/>
                    </a:solidFill>
                  </a:rPr>
                  <a:t> Samples</a:t>
                </a:r>
                <a:endParaRPr lang="en-GB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9215"/>
        <c:crosses val="autoZero"/>
        <c:auto val="1"/>
        <c:lblAlgn val="ctr"/>
        <c:lblOffset val="100"/>
        <c:noMultiLvlLbl val="0"/>
      </c:catAx>
      <c:valAx>
        <c:axId val="50089215"/>
        <c:scaling>
          <c:orientation val="minMax"/>
          <c:max val="2.2800000000000002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Density / gcm</a:t>
                </a:r>
                <a:r>
                  <a:rPr lang="en-GB" b="1" baseline="30000">
                    <a:solidFill>
                      <a:sysClr val="windowText" lastClr="000000"/>
                    </a:solidFill>
                  </a:rPr>
                  <a:t>-3</a:t>
                </a:r>
                <a:endParaRPr lang="en-GB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'Bond Strain'!$B$1</c:f>
              <c:strCache>
                <c:ptCount val="1"/>
                <c:pt idx="0">
                  <c:v>Number of Strained Bonds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'Bond Strain'!$A$2:$A$31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'Bond Strain'!$B$2:$B$31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8</c:v>
                </c:pt>
                <c:pt idx="28">
                  <c:v>0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C-4B41-97BF-ECF163E0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924032"/>
        <c:axId val="2070923200"/>
      </c:barChart>
      <c:catAx>
        <c:axId val="207092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23200"/>
        <c:crossesAt val="-1"/>
        <c:auto val="1"/>
        <c:lblAlgn val="ctr"/>
        <c:lblOffset val="100"/>
        <c:noMultiLvlLbl val="0"/>
      </c:catAx>
      <c:valAx>
        <c:axId val="2070923200"/>
        <c:scaling>
          <c:orientation val="minMax"/>
          <c:max val="8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2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149225</xdr:colOff>
      <xdr:row>1</xdr:row>
      <xdr:rowOff>9523</xdr:rowOff>
    </xdr:from>
    <xdr:to>
      <xdr:col>12</xdr:col>
      <xdr:colOff>796925</xdr:colOff>
      <xdr:row>24</xdr:row>
      <xdr:rowOff>184149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263A1C-FD98-464D-82C3-28701E264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9525</xdr:rowOff>
    </xdr:from>
    <xdr:to>
      <xdr:col>13</xdr:col>
      <xdr:colOff>311150</xdr:colOff>
      <xdr:row>22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BF191C-779C-44A5-8EE0-1D831FD0A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CB29-C4EB-4A7A-BEF8-9488931AA1F9}">
  <dimension ref="A2:E32"/>
  <sheetViews>
    <sheetView topLeftCell="A13" workbookViewId="0">
      <selection activeCell="K23" sqref="K23"/>
    </sheetView>
  </sheetViews>
  <sheetFormatPr defaultRowHeight="15.5" x14ac:dyDescent="0.35"/>
  <cols>
    <col min="1" max="1" width="8.6640625" style="5"/>
    <col min="2" max="2" width="12.08203125" style="5" customWidth="1"/>
    <col min="3" max="3" width="11.1640625" style="5" customWidth="1"/>
    <col min="4" max="4" width="17.1640625" style="5" customWidth="1"/>
    <col min="5" max="5" width="9.9140625" customWidth="1"/>
  </cols>
  <sheetData>
    <row r="2" spans="1:5" x14ac:dyDescent="0.35">
      <c r="A2" s="5" t="s">
        <v>0</v>
      </c>
      <c r="B2" s="5" t="s">
        <v>8</v>
      </c>
      <c r="C2" s="5" t="s">
        <v>7</v>
      </c>
      <c r="D2" s="5" t="s">
        <v>6</v>
      </c>
      <c r="E2" s="5" t="s">
        <v>9</v>
      </c>
    </row>
    <row r="3" spans="1:5" x14ac:dyDescent="0.35">
      <c r="A3" s="5">
        <v>1</v>
      </c>
      <c r="B3" s="6">
        <v>15.031000000000001</v>
      </c>
      <c r="C3" s="6">
        <v>14.963420793147501</v>
      </c>
      <c r="D3" s="6">
        <v>14.952999999999999</v>
      </c>
      <c r="E3" s="1">
        <f>C3-D3</f>
        <v>1.0420793147501328E-2</v>
      </c>
    </row>
    <row r="4" spans="1:5" x14ac:dyDescent="0.35">
      <c r="A4" s="5">
        <v>2</v>
      </c>
      <c r="B4" s="6">
        <v>15.058999999999999</v>
      </c>
      <c r="C4" s="6">
        <v>15.016670766655199</v>
      </c>
      <c r="D4" s="6">
        <v>15.007</v>
      </c>
      <c r="E4" s="1">
        <f t="shared" ref="E4:E32" si="0">C4-D4</f>
        <v>9.6707666551996141E-3</v>
      </c>
    </row>
    <row r="5" spans="1:5" x14ac:dyDescent="0.35">
      <c r="A5" s="7">
        <v>3</v>
      </c>
      <c r="B5" s="8">
        <v>14.835000000000001</v>
      </c>
      <c r="C5" s="8">
        <v>14.7580153033595</v>
      </c>
      <c r="D5" s="8">
        <v>14.756</v>
      </c>
      <c r="E5" s="1">
        <f t="shared" si="0"/>
        <v>2.0153033594993985E-3</v>
      </c>
    </row>
    <row r="6" spans="1:5" x14ac:dyDescent="0.35">
      <c r="A6" s="5">
        <v>4</v>
      </c>
      <c r="B6" s="6">
        <v>15.095000000000001</v>
      </c>
      <c r="C6" s="9">
        <v>15.000400000000001</v>
      </c>
      <c r="D6" s="6">
        <v>14.991</v>
      </c>
      <c r="E6" s="1">
        <f t="shared" si="0"/>
        <v>9.4000000000011852E-3</v>
      </c>
    </row>
    <row r="7" spans="1:5" x14ac:dyDescent="0.35">
      <c r="A7" s="5">
        <v>5</v>
      </c>
      <c r="B7" s="6">
        <v>14.869</v>
      </c>
      <c r="C7" s="6">
        <v>14.700463412525</v>
      </c>
      <c r="D7" s="6">
        <v>14.7</v>
      </c>
      <c r="E7" s="1">
        <f t="shared" si="0"/>
        <v>4.6341252500070595E-4</v>
      </c>
    </row>
    <row r="8" spans="1:5" x14ac:dyDescent="0.35">
      <c r="A8" s="5">
        <v>6</v>
      </c>
      <c r="B8" s="6">
        <v>14.984</v>
      </c>
      <c r="C8" s="6">
        <v>14.9089619742593</v>
      </c>
      <c r="D8" s="6">
        <v>14.906000000000001</v>
      </c>
      <c r="E8" s="1">
        <f t="shared" si="0"/>
        <v>2.9619742592998932E-3</v>
      </c>
    </row>
    <row r="9" spans="1:5" x14ac:dyDescent="0.35">
      <c r="A9" s="5">
        <v>7</v>
      </c>
      <c r="B9" s="6">
        <v>14.911</v>
      </c>
      <c r="C9" s="6">
        <v>14.7610978515513</v>
      </c>
      <c r="D9" s="6">
        <v>14.757</v>
      </c>
      <c r="E9" s="1">
        <f t="shared" si="0"/>
        <v>4.0978515513003799E-3</v>
      </c>
    </row>
    <row r="10" spans="1:5" x14ac:dyDescent="0.35">
      <c r="A10" s="5">
        <v>8</v>
      </c>
      <c r="B10" s="6">
        <v>15.089</v>
      </c>
      <c r="C10" s="6">
        <v>14.9679822000997</v>
      </c>
      <c r="D10" s="6">
        <v>14.961</v>
      </c>
      <c r="E10" s="1">
        <f t="shared" si="0"/>
        <v>6.9822000996992983E-3</v>
      </c>
    </row>
    <row r="11" spans="1:5" x14ac:dyDescent="0.35">
      <c r="A11" s="5">
        <v>9</v>
      </c>
      <c r="B11" s="6">
        <v>14.965</v>
      </c>
      <c r="C11" s="6">
        <v>14.860202785610401</v>
      </c>
      <c r="D11" s="6">
        <v>14.846</v>
      </c>
      <c r="E11" s="1">
        <f t="shared" si="0"/>
        <v>1.4202785610400781E-2</v>
      </c>
    </row>
    <row r="12" spans="1:5" x14ac:dyDescent="0.35">
      <c r="A12" s="5">
        <v>10</v>
      </c>
      <c r="B12" s="6">
        <v>14.949</v>
      </c>
      <c r="C12" s="6">
        <v>14.894082094683499</v>
      </c>
      <c r="D12" s="6">
        <v>14.893000000000001</v>
      </c>
      <c r="E12" s="1">
        <f t="shared" si="0"/>
        <v>1.0820946834986245E-3</v>
      </c>
    </row>
    <row r="13" spans="1:5" x14ac:dyDescent="0.35">
      <c r="A13" s="5">
        <v>11</v>
      </c>
      <c r="B13" s="6">
        <v>14.834</v>
      </c>
      <c r="C13" s="6">
        <v>14.762213105010099</v>
      </c>
      <c r="D13" s="6">
        <v>14.76</v>
      </c>
      <c r="E13" s="1">
        <f t="shared" si="0"/>
        <v>2.2131050100995253E-3</v>
      </c>
    </row>
    <row r="14" spans="1:5" x14ac:dyDescent="0.35">
      <c r="A14" s="5">
        <v>12</v>
      </c>
      <c r="B14" s="6">
        <v>14.968</v>
      </c>
      <c r="C14" s="6">
        <v>14.7644388998579</v>
      </c>
      <c r="D14" s="6">
        <v>14.76</v>
      </c>
      <c r="E14" s="1">
        <f t="shared" si="0"/>
        <v>4.4388998579005801E-3</v>
      </c>
    </row>
    <row r="15" spans="1:5" x14ac:dyDescent="0.35">
      <c r="A15" s="5">
        <v>13</v>
      </c>
      <c r="B15" s="6">
        <v>14.935</v>
      </c>
      <c r="C15" s="6">
        <v>14.776531481742699</v>
      </c>
      <c r="D15" s="6">
        <v>14.768000000000001</v>
      </c>
      <c r="E15" s="1">
        <f t="shared" si="0"/>
        <v>8.5314817426986878E-3</v>
      </c>
    </row>
    <row r="16" spans="1:5" x14ac:dyDescent="0.35">
      <c r="A16" s="5">
        <v>14</v>
      </c>
      <c r="B16" s="6">
        <v>14.827999999999999</v>
      </c>
      <c r="C16" s="6">
        <v>14.733432977066901</v>
      </c>
      <c r="D16" s="6">
        <v>14.733000000000001</v>
      </c>
      <c r="E16" s="1">
        <f>C16-D16</f>
        <v>4.3297706690026416E-4</v>
      </c>
    </row>
    <row r="17" spans="1:5" x14ac:dyDescent="0.35">
      <c r="A17" s="5">
        <v>15</v>
      </c>
      <c r="B17" s="6">
        <v>14.933999999999999</v>
      </c>
      <c r="C17" s="6">
        <v>14.8283220678071</v>
      </c>
      <c r="D17" s="6">
        <v>14.821999999999999</v>
      </c>
      <c r="E17" s="1">
        <f t="shared" si="0"/>
        <v>6.322067807101206E-3</v>
      </c>
    </row>
    <row r="18" spans="1:5" x14ac:dyDescent="0.35">
      <c r="A18" s="5">
        <v>16</v>
      </c>
      <c r="B18" s="6">
        <v>15.096</v>
      </c>
      <c r="C18" s="6">
        <v>15.0672748704763</v>
      </c>
      <c r="D18" s="6">
        <v>15.061</v>
      </c>
      <c r="E18" s="1">
        <f t="shared" si="0"/>
        <v>6.274870476300265E-3</v>
      </c>
    </row>
    <row r="19" spans="1:5" x14ac:dyDescent="0.35">
      <c r="A19" s="5">
        <v>17</v>
      </c>
      <c r="B19" s="6">
        <v>14.992000000000001</v>
      </c>
      <c r="C19" s="6">
        <v>14.860095667772899</v>
      </c>
      <c r="D19" s="6">
        <v>14.856</v>
      </c>
      <c r="E19" s="1">
        <f t="shared" si="0"/>
        <v>4.0956677728996027E-3</v>
      </c>
    </row>
    <row r="20" spans="1:5" x14ac:dyDescent="0.35">
      <c r="A20" s="5">
        <v>18</v>
      </c>
      <c r="B20" s="6">
        <v>14.923999999999999</v>
      </c>
      <c r="C20" s="6">
        <v>14.788882450086399</v>
      </c>
      <c r="D20" s="6">
        <v>14.785</v>
      </c>
      <c r="E20" s="1">
        <f t="shared" si="0"/>
        <v>3.8824500863992029E-3</v>
      </c>
    </row>
    <row r="21" spans="1:5" x14ac:dyDescent="0.35">
      <c r="A21" s="5">
        <v>19</v>
      </c>
      <c r="B21" s="6">
        <v>14.736000000000001</v>
      </c>
      <c r="C21" s="6">
        <v>14.6737582673105</v>
      </c>
      <c r="D21" s="6">
        <v>14.673999999999999</v>
      </c>
      <c r="E21" s="1">
        <f t="shared" si="0"/>
        <v>-2.4173268949922999E-4</v>
      </c>
    </row>
    <row r="22" spans="1:5" x14ac:dyDescent="0.35">
      <c r="A22" s="5">
        <v>20</v>
      </c>
      <c r="B22" s="6">
        <v>14.973000000000001</v>
      </c>
      <c r="C22" s="6">
        <v>14.8934303898333</v>
      </c>
      <c r="D22" s="6">
        <v>14.885999999999999</v>
      </c>
      <c r="E22" s="1">
        <f t="shared" si="0"/>
        <v>7.430389833301021E-3</v>
      </c>
    </row>
    <row r="23" spans="1:5" x14ac:dyDescent="0.35">
      <c r="A23" s="5">
        <v>21</v>
      </c>
      <c r="B23" s="6">
        <v>14.826000000000001</v>
      </c>
      <c r="C23" s="10">
        <v>14.645233996527899</v>
      </c>
      <c r="D23" s="6">
        <v>15.063000000000001</v>
      </c>
      <c r="E23" s="1">
        <f t="shared" si="0"/>
        <v>-0.41776600347210113</v>
      </c>
    </row>
    <row r="24" spans="1:5" x14ac:dyDescent="0.35">
      <c r="A24" s="5">
        <v>22</v>
      </c>
      <c r="B24" s="6">
        <v>14.863</v>
      </c>
      <c r="C24" s="6">
        <v>14.867680647461</v>
      </c>
      <c r="D24" s="6">
        <v>14.866</v>
      </c>
      <c r="E24" s="1">
        <f t="shared" si="0"/>
        <v>1.6806474610007172E-3</v>
      </c>
    </row>
    <row r="25" spans="1:5" x14ac:dyDescent="0.35">
      <c r="A25" s="5">
        <v>23</v>
      </c>
      <c r="B25" s="6">
        <v>14.949</v>
      </c>
      <c r="C25" s="6">
        <v>14.8397721749017</v>
      </c>
      <c r="D25" s="6">
        <v>14.831</v>
      </c>
      <c r="E25" s="1">
        <f t="shared" si="0"/>
        <v>8.77217490170068E-3</v>
      </c>
    </row>
    <row r="26" spans="1:5" x14ac:dyDescent="0.35">
      <c r="A26" s="5">
        <v>24</v>
      </c>
      <c r="B26" s="6">
        <v>14.9</v>
      </c>
      <c r="C26" s="6">
        <v>14.7196401500115</v>
      </c>
      <c r="D26" s="6">
        <v>14.718999999999999</v>
      </c>
      <c r="E26" s="1">
        <f t="shared" si="0"/>
        <v>6.4015001150075079E-4</v>
      </c>
    </row>
    <row r="27" spans="1:5" x14ac:dyDescent="0.35">
      <c r="A27" s="5">
        <v>25</v>
      </c>
      <c r="B27" s="6">
        <v>14.874000000000001</v>
      </c>
      <c r="C27" s="6">
        <v>14.730794685731199</v>
      </c>
      <c r="D27" s="6">
        <v>14.731</v>
      </c>
      <c r="E27" s="1">
        <f t="shared" si="0"/>
        <v>-2.0531426880054937E-4</v>
      </c>
    </row>
    <row r="28" spans="1:5" x14ac:dyDescent="0.35">
      <c r="A28" s="5">
        <v>26</v>
      </c>
      <c r="B28" s="6">
        <v>15.032</v>
      </c>
      <c r="C28" s="6">
        <v>14.9427781625878</v>
      </c>
      <c r="D28" s="6">
        <v>14.946999999999999</v>
      </c>
      <c r="E28" s="1">
        <f t="shared" si="0"/>
        <v>-4.2218374121993918E-3</v>
      </c>
    </row>
    <row r="29" spans="1:5" x14ac:dyDescent="0.35">
      <c r="A29" s="5">
        <v>27</v>
      </c>
      <c r="B29" s="6">
        <v>15.102</v>
      </c>
      <c r="C29" s="6">
        <v>15.0576432888629</v>
      </c>
      <c r="D29" s="6">
        <v>15.042999999999999</v>
      </c>
      <c r="E29" s="1">
        <f t="shared" si="0"/>
        <v>1.4643288862901116E-2</v>
      </c>
    </row>
    <row r="30" spans="1:5" x14ac:dyDescent="0.35">
      <c r="A30" s="5">
        <v>28</v>
      </c>
      <c r="B30" s="6">
        <v>14.949</v>
      </c>
      <c r="C30" s="6">
        <v>14.9267961338274</v>
      </c>
      <c r="D30" s="6">
        <v>14.923999999999999</v>
      </c>
      <c r="E30" s="1">
        <f t="shared" si="0"/>
        <v>2.7961338274007375E-3</v>
      </c>
    </row>
    <row r="31" spans="1:5" x14ac:dyDescent="0.35">
      <c r="A31" s="5">
        <v>29</v>
      </c>
      <c r="B31" s="6">
        <v>15.115</v>
      </c>
      <c r="C31" s="6">
        <v>15.039147643332999</v>
      </c>
      <c r="D31" s="6">
        <v>15.029</v>
      </c>
      <c r="E31" s="1">
        <f t="shared" si="0"/>
        <v>1.0147643332999223E-2</v>
      </c>
    </row>
    <row r="32" spans="1:5" x14ac:dyDescent="0.35">
      <c r="A32" s="5">
        <v>30</v>
      </c>
      <c r="B32" s="6">
        <v>14.881</v>
      </c>
      <c r="C32" s="6">
        <v>14.8066062940556</v>
      </c>
      <c r="D32" s="6">
        <v>14.802</v>
      </c>
      <c r="E32" s="1">
        <f t="shared" si="0"/>
        <v>4.6062940556002019E-3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E0AD-2134-6B4A-BD94-8246009390A7}">
  <dimension ref="A2:R38"/>
  <sheetViews>
    <sheetView tabSelected="1" workbookViewId="0">
      <selection activeCell="B15" sqref="B15"/>
    </sheetView>
  </sheetViews>
  <sheetFormatPr defaultColWidth="10.6640625" defaultRowHeight="15.5" x14ac:dyDescent="0.35"/>
  <cols>
    <col min="2" max="2" width="16.58203125" customWidth="1"/>
    <col min="3" max="3" width="11.33203125" bestFit="1" customWidth="1"/>
    <col min="14" max="17" width="10.6640625" style="5"/>
    <col min="18" max="18" width="17.9140625" style="5" customWidth="1"/>
  </cols>
  <sheetData>
    <row r="2" spans="1:18" x14ac:dyDescent="0.35">
      <c r="A2" t="s">
        <v>0</v>
      </c>
      <c r="B2" t="s">
        <v>5</v>
      </c>
      <c r="C2" t="s">
        <v>1</v>
      </c>
      <c r="N2" s="5" t="s">
        <v>0</v>
      </c>
      <c r="O2" s="5" t="s">
        <v>8</v>
      </c>
      <c r="P2" s="5" t="s">
        <v>7</v>
      </c>
      <c r="Q2" s="5" t="s">
        <v>10</v>
      </c>
      <c r="R2" s="5" t="s">
        <v>11</v>
      </c>
    </row>
    <row r="3" spans="1:18" x14ac:dyDescent="0.35">
      <c r="A3">
        <v>1</v>
      </c>
      <c r="B3" s="1">
        <v>14.952999999999999</v>
      </c>
      <c r="C3" s="1">
        <f t="shared" ref="C3:C32" si="0">(((15.999*144)+(28.0855*72))/6.022140857E+23)/((B3*0.00000001)^3)</f>
        <v>2.1485813936021221</v>
      </c>
      <c r="N3" s="5">
        <v>1</v>
      </c>
      <c r="O3" s="6">
        <v>2.1153059257594204</v>
      </c>
      <c r="P3" s="6">
        <v>2.1440955878259467</v>
      </c>
      <c r="Q3" s="6">
        <v>2.1485813936021221</v>
      </c>
      <c r="R3" s="6">
        <f>Q3-P3</f>
        <v>4.4858057761754111E-3</v>
      </c>
    </row>
    <row r="4" spans="1:18" x14ac:dyDescent="0.35">
      <c r="A4">
        <v>2</v>
      </c>
      <c r="B4" s="1">
        <v>15.007</v>
      </c>
      <c r="C4" s="1">
        <f t="shared" si="0"/>
        <v>2.1254708971777392</v>
      </c>
      <c r="N4" s="5">
        <v>2</v>
      </c>
      <c r="O4" s="6">
        <v>2.1035285486390394</v>
      </c>
      <c r="P4" s="6">
        <v>2.1213671183533314</v>
      </c>
      <c r="Q4" s="6">
        <v>2.1254708971777392</v>
      </c>
      <c r="R4" s="6">
        <f t="shared" ref="R4:R32" si="1">Q4-P4</f>
        <v>4.1037788244078222E-3</v>
      </c>
    </row>
    <row r="5" spans="1:18" x14ac:dyDescent="0.35">
      <c r="A5" s="2">
        <v>3</v>
      </c>
      <c r="B5" s="3">
        <v>14.756</v>
      </c>
      <c r="C5" s="3">
        <f t="shared" si="0"/>
        <v>2.2357892864813982</v>
      </c>
      <c r="N5" s="7">
        <v>3</v>
      </c>
      <c r="O5" s="6">
        <v>2.2002607850805638</v>
      </c>
      <c r="P5" s="6">
        <v>2.2348734766722815</v>
      </c>
      <c r="Q5" s="8">
        <v>2.2357892864813982</v>
      </c>
      <c r="R5" s="6">
        <f t="shared" si="1"/>
        <v>9.1580980911665222E-4</v>
      </c>
    </row>
    <row r="6" spans="1:18" x14ac:dyDescent="0.35">
      <c r="A6">
        <v>4</v>
      </c>
      <c r="B6" s="1">
        <v>14.991</v>
      </c>
      <c r="C6" s="1">
        <f t="shared" si="0"/>
        <v>2.1322837536414587</v>
      </c>
      <c r="N6" s="5">
        <v>4</v>
      </c>
      <c r="O6" s="6">
        <v>2.08851432467163</v>
      </c>
      <c r="P6" s="6">
        <v>2.1282776785361346</v>
      </c>
      <c r="Q6" s="6">
        <v>2.1322837536414587</v>
      </c>
      <c r="R6" s="6">
        <f t="shared" si="1"/>
        <v>4.0060751053241361E-3</v>
      </c>
    </row>
    <row r="7" spans="1:18" x14ac:dyDescent="0.35">
      <c r="A7">
        <v>5</v>
      </c>
      <c r="B7" s="1">
        <v>14.7</v>
      </c>
      <c r="C7" s="1">
        <f t="shared" si="0"/>
        <v>2.2614386281340941</v>
      </c>
      <c r="N7" s="5">
        <v>5</v>
      </c>
      <c r="O7" s="6">
        <v>2.1852016816339197</v>
      </c>
      <c r="P7" s="6">
        <v>2.2612247683557469</v>
      </c>
      <c r="Q7" s="6">
        <v>2.2614386281340941</v>
      </c>
      <c r="R7" s="6">
        <f t="shared" si="1"/>
        <v>2.1385977834720293E-4</v>
      </c>
    </row>
    <row r="8" spans="1:18" x14ac:dyDescent="0.35">
      <c r="A8">
        <v>6</v>
      </c>
      <c r="B8" s="1">
        <v>14.906000000000001</v>
      </c>
      <c r="C8" s="1">
        <f t="shared" si="0"/>
        <v>2.1689695735187446</v>
      </c>
      <c r="N8" s="5">
        <v>6</v>
      </c>
      <c r="O8" s="6">
        <v>2.1352735347932223</v>
      </c>
      <c r="P8" s="6">
        <v>2.1676770980677333</v>
      </c>
      <c r="Q8" s="6">
        <v>2.1689695735187446</v>
      </c>
      <c r="R8" s="6">
        <f t="shared" si="1"/>
        <v>1.292475451011299E-3</v>
      </c>
    </row>
    <row r="9" spans="1:18" x14ac:dyDescent="0.35">
      <c r="A9">
        <v>7</v>
      </c>
      <c r="B9" s="1">
        <v>14.757</v>
      </c>
      <c r="C9" s="1">
        <f t="shared" si="0"/>
        <v>2.2353347961819741</v>
      </c>
      <c r="N9" s="5">
        <v>7</v>
      </c>
      <c r="O9" s="6">
        <v>2.1667883894771545</v>
      </c>
      <c r="P9" s="6">
        <v>2.2334736485461764</v>
      </c>
      <c r="Q9" s="6">
        <v>2.2353347961819741</v>
      </c>
      <c r="R9" s="6">
        <f t="shared" si="1"/>
        <v>1.8611476357976997E-3</v>
      </c>
    </row>
    <row r="10" spans="1:18" x14ac:dyDescent="0.35">
      <c r="A10">
        <v>8</v>
      </c>
      <c r="B10" s="1">
        <v>14.961</v>
      </c>
      <c r="C10" s="1">
        <f t="shared" si="0"/>
        <v>2.1451365446730284</v>
      </c>
      <c r="N10" s="5">
        <v>8</v>
      </c>
      <c r="O10" s="6">
        <v>2.0910067501758753</v>
      </c>
      <c r="P10" s="6">
        <v>2.142135982530065</v>
      </c>
      <c r="Q10" s="6">
        <v>2.1451365446730284</v>
      </c>
      <c r="R10" s="6">
        <f t="shared" si="1"/>
        <v>3.0005621429634033E-3</v>
      </c>
    </row>
    <row r="11" spans="1:18" x14ac:dyDescent="0.35">
      <c r="A11">
        <v>9</v>
      </c>
      <c r="B11" s="1">
        <v>14.846</v>
      </c>
      <c r="C11" s="1">
        <f t="shared" si="0"/>
        <v>2.1953736221712883</v>
      </c>
      <c r="N11" s="5">
        <v>9</v>
      </c>
      <c r="O11" s="6">
        <v>2.1434168815485592</v>
      </c>
      <c r="P11" s="6">
        <v>2.189084886444308</v>
      </c>
      <c r="Q11" s="6">
        <v>2.1953736221712883</v>
      </c>
      <c r="R11" s="6">
        <f t="shared" si="1"/>
        <v>6.288735726980299E-3</v>
      </c>
    </row>
    <row r="12" spans="1:18" x14ac:dyDescent="0.35">
      <c r="A12">
        <v>10</v>
      </c>
      <c r="B12" s="1">
        <v>14.893000000000001</v>
      </c>
      <c r="C12" s="1">
        <f t="shared" si="0"/>
        <v>2.1746543699152561</v>
      </c>
      <c r="N12" s="5">
        <v>10</v>
      </c>
      <c r="O12" s="6">
        <v>2.1503065843342997</v>
      </c>
      <c r="P12" s="6">
        <v>2.1741804210764375</v>
      </c>
      <c r="Q12" s="6">
        <v>2.1746543699152561</v>
      </c>
      <c r="R12" s="6">
        <f t="shared" si="1"/>
        <v>4.7394883881857197E-4</v>
      </c>
    </row>
    <row r="13" spans="1:18" x14ac:dyDescent="0.35">
      <c r="A13">
        <v>11</v>
      </c>
      <c r="B13" s="1">
        <v>14.76</v>
      </c>
      <c r="C13" s="1">
        <f t="shared" si="0"/>
        <v>2.2339720641754965</v>
      </c>
      <c r="N13" s="5">
        <v>11</v>
      </c>
      <c r="O13" s="6">
        <v>2.2007057916426382</v>
      </c>
      <c r="P13" s="6">
        <v>2.2329674843923244</v>
      </c>
      <c r="Q13" s="6">
        <v>2.2339720641754965</v>
      </c>
      <c r="R13" s="6">
        <f t="shared" si="1"/>
        <v>1.0045797831721437E-3</v>
      </c>
    </row>
    <row r="14" spans="1:18" x14ac:dyDescent="0.35">
      <c r="A14">
        <v>12</v>
      </c>
      <c r="B14" s="1">
        <v>14.76</v>
      </c>
      <c r="C14" s="1">
        <f t="shared" si="0"/>
        <v>2.2339720641754965</v>
      </c>
      <c r="N14" s="5">
        <v>12</v>
      </c>
      <c r="O14" s="6">
        <v>2.1421283402742706</v>
      </c>
      <c r="P14" s="6">
        <v>2.2319577518190874</v>
      </c>
      <c r="Q14" s="6">
        <v>2.2339720641754965</v>
      </c>
      <c r="R14" s="6">
        <f t="shared" si="1"/>
        <v>2.0143123564091425E-3</v>
      </c>
    </row>
    <row r="15" spans="1:18" x14ac:dyDescent="0.35">
      <c r="A15">
        <v>13</v>
      </c>
      <c r="B15" s="1">
        <v>14.768000000000001</v>
      </c>
      <c r="C15" s="1">
        <f t="shared" si="0"/>
        <v>2.2303435233624178</v>
      </c>
      <c r="N15" s="5">
        <v>13</v>
      </c>
      <c r="O15" s="6">
        <v>2.1563593169669217</v>
      </c>
      <c r="P15" s="6">
        <v>2.2264825731177673</v>
      </c>
      <c r="Q15" s="6">
        <v>2.2303435233624178</v>
      </c>
      <c r="R15" s="6">
        <f t="shared" si="1"/>
        <v>3.8609502446504962E-3</v>
      </c>
    </row>
    <row r="16" spans="1:18" x14ac:dyDescent="0.35">
      <c r="A16">
        <v>14</v>
      </c>
      <c r="B16" s="1">
        <v>14.733000000000001</v>
      </c>
      <c r="C16" s="1">
        <f t="shared" si="0"/>
        <v>2.2462766562927423</v>
      </c>
      <c r="N16" s="5">
        <v>14</v>
      </c>
      <c r="O16" s="6">
        <v>2.2033783526954474</v>
      </c>
      <c r="P16" s="6">
        <v>2.246078625521887</v>
      </c>
      <c r="Q16" s="6">
        <v>2.2462766562927423</v>
      </c>
      <c r="R16" s="6">
        <f t="shared" si="1"/>
        <v>1.9803077085533971E-4</v>
      </c>
    </row>
    <row r="17" spans="1:18" x14ac:dyDescent="0.35">
      <c r="A17">
        <v>15</v>
      </c>
      <c r="B17" s="1">
        <v>14.821999999999999</v>
      </c>
      <c r="C17" s="1">
        <f t="shared" si="0"/>
        <v>2.206055242950236</v>
      </c>
      <c r="N17" s="5">
        <v>15</v>
      </c>
      <c r="O17" s="6">
        <v>2.156792523819635</v>
      </c>
      <c r="P17" s="6">
        <v>2.2032347851728438</v>
      </c>
      <c r="Q17" s="6">
        <v>2.206055242950236</v>
      </c>
      <c r="R17" s="6">
        <f t="shared" si="1"/>
        <v>2.8204577773922601E-3</v>
      </c>
    </row>
    <row r="18" spans="1:18" x14ac:dyDescent="0.35">
      <c r="A18">
        <v>16</v>
      </c>
      <c r="B18" s="1">
        <v>15.061</v>
      </c>
      <c r="C18" s="1">
        <f t="shared" si="0"/>
        <v>2.1026906563769754</v>
      </c>
      <c r="N18" s="5">
        <v>16</v>
      </c>
      <c r="O18" s="6">
        <v>2.0880993055979284</v>
      </c>
      <c r="P18" s="6">
        <v>2.1000647102218886</v>
      </c>
      <c r="Q18" s="6">
        <v>2.1026906563769754</v>
      </c>
      <c r="R18" s="6">
        <f t="shared" si="1"/>
        <v>2.6259461550868224E-3</v>
      </c>
    </row>
    <row r="19" spans="1:18" x14ac:dyDescent="0.35">
      <c r="A19">
        <v>17</v>
      </c>
      <c r="B19" s="1">
        <v>14.856</v>
      </c>
      <c r="C19" s="1">
        <f t="shared" si="0"/>
        <v>2.1909432986964283</v>
      </c>
      <c r="N19" s="5">
        <v>17</v>
      </c>
      <c r="O19" s="6">
        <v>2.1318570977859288</v>
      </c>
      <c r="P19" s="6">
        <v>2.1891322263271786</v>
      </c>
      <c r="Q19" s="6">
        <v>2.1909432986964283</v>
      </c>
      <c r="R19" s="6">
        <f t="shared" si="1"/>
        <v>1.811072369249711E-3</v>
      </c>
    </row>
    <row r="20" spans="1:18" x14ac:dyDescent="0.35">
      <c r="A20">
        <v>18</v>
      </c>
      <c r="B20" s="1">
        <v>14.785</v>
      </c>
      <c r="C20" s="1">
        <f t="shared" si="0"/>
        <v>2.2226589253692972</v>
      </c>
      <c r="N20" s="5">
        <v>18</v>
      </c>
      <c r="O20" s="6">
        <v>2.1611309813991473</v>
      </c>
      <c r="P20" s="6">
        <v>2.2209088748550152</v>
      </c>
      <c r="Q20" s="6">
        <v>2.2226589253692972</v>
      </c>
      <c r="R20" s="6">
        <f t="shared" si="1"/>
        <v>1.7500505142820089E-3</v>
      </c>
    </row>
    <row r="21" spans="1:18" x14ac:dyDescent="0.35">
      <c r="A21">
        <v>19</v>
      </c>
      <c r="B21" s="1">
        <v>14.673999999999999</v>
      </c>
      <c r="C21" s="1">
        <f t="shared" si="0"/>
        <v>2.2734806709718667</v>
      </c>
      <c r="N21" s="5">
        <v>19</v>
      </c>
      <c r="O21" s="6">
        <v>2.2449050239331454</v>
      </c>
      <c r="P21" s="6">
        <v>2.2735930314811679</v>
      </c>
      <c r="Q21" s="6">
        <v>2.2734806709718667</v>
      </c>
      <c r="R21" s="6">
        <f t="shared" si="1"/>
        <v>-1.1236050930119035E-4</v>
      </c>
    </row>
    <row r="22" spans="1:18" x14ac:dyDescent="0.35">
      <c r="A22">
        <v>20</v>
      </c>
      <c r="B22" s="1">
        <v>14.885999999999999</v>
      </c>
      <c r="C22" s="1">
        <f t="shared" si="0"/>
        <v>2.1777236443983807</v>
      </c>
      <c r="N22" s="5">
        <v>20</v>
      </c>
      <c r="O22" s="6">
        <v>2.1399830656904957</v>
      </c>
      <c r="P22" s="6">
        <v>2.1744658461043218</v>
      </c>
      <c r="Q22" s="6">
        <v>2.1777236443983807</v>
      </c>
      <c r="R22" s="6">
        <f t="shared" si="1"/>
        <v>3.2577982940589223E-3</v>
      </c>
    </row>
    <row r="23" spans="1:18" x14ac:dyDescent="0.35">
      <c r="A23">
        <v>21</v>
      </c>
      <c r="B23" s="1">
        <v>15.063000000000001</v>
      </c>
      <c r="C23" s="1">
        <f t="shared" si="0"/>
        <v>2.10185320906267</v>
      </c>
      <c r="N23" s="5">
        <v>21</v>
      </c>
      <c r="O23" s="6">
        <v>2.2042701679919783</v>
      </c>
      <c r="P23" s="6">
        <v>2.2869036370125828</v>
      </c>
      <c r="Q23" s="6">
        <v>2.10185320906267</v>
      </c>
      <c r="R23" s="6">
        <f t="shared" si="1"/>
        <v>-0.18505042794991278</v>
      </c>
    </row>
    <row r="24" spans="1:18" x14ac:dyDescent="0.35">
      <c r="A24">
        <v>22</v>
      </c>
      <c r="B24" s="1">
        <v>14.866</v>
      </c>
      <c r="C24" s="1">
        <f t="shared" si="0"/>
        <v>2.1865248878911152</v>
      </c>
      <c r="N24" s="5">
        <v>22</v>
      </c>
      <c r="O24" s="6">
        <v>2.1878491626863026</v>
      </c>
      <c r="P24" s="6">
        <v>2.1857834752513128</v>
      </c>
      <c r="Q24" s="6">
        <v>2.1865248878911152</v>
      </c>
      <c r="R24" s="6">
        <f t="shared" si="1"/>
        <v>7.4141263980243011E-4</v>
      </c>
    </row>
    <row r="25" spans="1:18" x14ac:dyDescent="0.35">
      <c r="A25">
        <v>23</v>
      </c>
      <c r="B25" s="1">
        <v>14.831</v>
      </c>
      <c r="C25" s="1">
        <f t="shared" si="0"/>
        <v>2.2020415315660564</v>
      </c>
      <c r="N25" s="5">
        <v>23</v>
      </c>
      <c r="O25" s="6">
        <v>2.1503065843342997</v>
      </c>
      <c r="P25" s="6">
        <v>2.1981387875996274</v>
      </c>
      <c r="Q25" s="6">
        <v>2.2020415315660564</v>
      </c>
      <c r="R25" s="6">
        <f t="shared" si="1"/>
        <v>3.9027439664289787E-3</v>
      </c>
    </row>
    <row r="26" spans="1:18" x14ac:dyDescent="0.35">
      <c r="A26">
        <v>24</v>
      </c>
      <c r="B26" s="1">
        <v>14.718999999999999</v>
      </c>
      <c r="C26" s="1">
        <f t="shared" si="0"/>
        <v>2.2526924034968312</v>
      </c>
      <c r="N26" s="5">
        <v>24</v>
      </c>
      <c r="O26" s="6">
        <v>2.1715908604867846</v>
      </c>
      <c r="P26" s="6">
        <v>2.2523985107780526</v>
      </c>
      <c r="Q26" s="6">
        <v>2.2526924034968312</v>
      </c>
      <c r="R26" s="6">
        <f t="shared" si="1"/>
        <v>2.938927187785545E-4</v>
      </c>
    </row>
    <row r="27" spans="1:18" x14ac:dyDescent="0.35">
      <c r="A27">
        <v>25</v>
      </c>
      <c r="B27" s="1">
        <v>14.731</v>
      </c>
      <c r="C27" s="1">
        <f t="shared" si="0"/>
        <v>2.2471916987105653</v>
      </c>
      <c r="N27" s="5">
        <v>25</v>
      </c>
      <c r="O27" s="6">
        <v>2.182998709474794</v>
      </c>
      <c r="P27" s="6">
        <v>2.2472856624703557</v>
      </c>
      <c r="Q27" s="6">
        <v>2.2471916987105653</v>
      </c>
      <c r="R27" s="6">
        <f t="shared" si="1"/>
        <v>-9.3963759790316459E-5</v>
      </c>
    </row>
    <row r="28" spans="1:18" x14ac:dyDescent="0.35">
      <c r="A28">
        <v>26</v>
      </c>
      <c r="B28" s="1">
        <v>14.946999999999999</v>
      </c>
      <c r="C28" s="1">
        <f t="shared" si="0"/>
        <v>2.1511698723471468</v>
      </c>
      <c r="N28" s="5">
        <v>26</v>
      </c>
      <c r="O28" s="6">
        <v>2.1148837932669995</v>
      </c>
      <c r="P28" s="6">
        <v>2.152993721071081</v>
      </c>
      <c r="Q28" s="6">
        <v>2.1511698723471468</v>
      </c>
      <c r="R28" s="6">
        <f t="shared" si="1"/>
        <v>-1.8238487239341516E-3</v>
      </c>
    </row>
    <row r="29" spans="1:18" x14ac:dyDescent="0.35">
      <c r="A29">
        <v>27</v>
      </c>
      <c r="B29" s="1">
        <v>15.042999999999999</v>
      </c>
      <c r="C29" s="1">
        <f t="shared" si="0"/>
        <v>2.1102477403702067</v>
      </c>
      <c r="N29" s="5">
        <v>27</v>
      </c>
      <c r="O29" s="6">
        <v>2.0856114989030394</v>
      </c>
      <c r="P29" s="6">
        <v>2.1040971909624235</v>
      </c>
      <c r="Q29" s="6">
        <v>2.1102477403702067</v>
      </c>
      <c r="R29" s="6">
        <f t="shared" si="1"/>
        <v>6.1505494077831457E-3</v>
      </c>
    </row>
    <row r="30" spans="1:18" x14ac:dyDescent="0.35">
      <c r="A30">
        <v>28</v>
      </c>
      <c r="B30" s="1">
        <v>14.923999999999999</v>
      </c>
      <c r="C30" s="1">
        <f t="shared" si="0"/>
        <v>2.1611309813991473</v>
      </c>
      <c r="N30" s="5">
        <v>28</v>
      </c>
      <c r="O30" s="6">
        <v>2.1503065843342997</v>
      </c>
      <c r="P30" s="6">
        <v>2.1599167195774878</v>
      </c>
      <c r="Q30" s="6">
        <v>2.1611309813991473</v>
      </c>
      <c r="R30" s="6">
        <f t="shared" si="1"/>
        <v>1.2142618216595125E-3</v>
      </c>
    </row>
    <row r="31" spans="1:18" x14ac:dyDescent="0.35">
      <c r="A31">
        <v>29</v>
      </c>
      <c r="B31" s="1">
        <v>15.029</v>
      </c>
      <c r="C31" s="1">
        <f t="shared" si="0"/>
        <v>2.1161505278359956</v>
      </c>
      <c r="N31" s="5">
        <v>29</v>
      </c>
      <c r="O31" s="6">
        <v>2.0802347929034228</v>
      </c>
      <c r="P31" s="6">
        <v>2.1118698089310799</v>
      </c>
      <c r="Q31" s="6">
        <v>2.1161505278359956</v>
      </c>
      <c r="R31" s="6">
        <f t="shared" si="1"/>
        <v>4.2807189049156591E-3</v>
      </c>
    </row>
    <row r="32" spans="1:18" x14ac:dyDescent="0.35">
      <c r="A32">
        <v>30</v>
      </c>
      <c r="B32" s="1">
        <v>14.802</v>
      </c>
      <c r="C32" s="1">
        <f t="shared" si="0"/>
        <v>2.2150095896805944</v>
      </c>
      <c r="N32" s="5">
        <v>30</v>
      </c>
      <c r="O32" s="6">
        <v>2.1799195204542441</v>
      </c>
      <c r="P32" s="6">
        <v>2.2129429827528071</v>
      </c>
      <c r="Q32" s="6">
        <v>2.2150095896805944</v>
      </c>
      <c r="R32" s="6">
        <f t="shared" si="1"/>
        <v>2.0666069277872623E-3</v>
      </c>
    </row>
    <row r="34" spans="1:3" x14ac:dyDescent="0.35">
      <c r="A34" s="11" t="s">
        <v>16</v>
      </c>
      <c r="B34" s="11"/>
      <c r="C34" s="1">
        <f>AVERAGE(C3:C32)</f>
        <v>2.1895054018208926</v>
      </c>
    </row>
    <row r="35" spans="1:3" x14ac:dyDescent="0.35">
      <c r="B35" s="4" t="s">
        <v>12</v>
      </c>
      <c r="C35" s="1">
        <f>MIN(C3:C32)</f>
        <v>2.10185320906267</v>
      </c>
    </row>
    <row r="36" spans="1:3" x14ac:dyDescent="0.35">
      <c r="B36" s="4" t="s">
        <v>13</v>
      </c>
      <c r="C36" s="1">
        <f>MAX(C3:C32)</f>
        <v>2.2734806709718667</v>
      </c>
    </row>
    <row r="37" spans="1:3" x14ac:dyDescent="0.35">
      <c r="B37" s="4" t="s">
        <v>14</v>
      </c>
      <c r="C37" s="1">
        <f>ABS(C35-C36)</f>
        <v>0.17162746190919664</v>
      </c>
    </row>
    <row r="38" spans="1:3" x14ac:dyDescent="0.35">
      <c r="B38" s="4" t="s">
        <v>15</v>
      </c>
      <c r="C38" s="1">
        <f>_xlfn.STDEV.S(C3:C32)</f>
        <v>5.1130919279641418E-2</v>
      </c>
    </row>
  </sheetData>
  <mergeCells count="1">
    <mergeCell ref="A34:B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DC36-1968-4F2F-BF18-9E32315D0EB8}">
  <dimension ref="A1:D33"/>
  <sheetViews>
    <sheetView workbookViewId="0">
      <selection activeCell="D27" sqref="D27"/>
    </sheetView>
  </sheetViews>
  <sheetFormatPr defaultRowHeight="15.5" x14ac:dyDescent="0.35"/>
  <cols>
    <col min="2" max="2" width="25.6640625" customWidth="1"/>
  </cols>
  <sheetData>
    <row r="1" spans="1:4" x14ac:dyDescent="0.35">
      <c r="A1" t="s">
        <v>2</v>
      </c>
      <c r="B1" t="s">
        <v>3</v>
      </c>
      <c r="D1" t="s">
        <v>4</v>
      </c>
    </row>
    <row r="2" spans="1:4" x14ac:dyDescent="0.35">
      <c r="A2">
        <v>1</v>
      </c>
      <c r="B2">
        <v>3</v>
      </c>
    </row>
    <row r="3" spans="1:4" x14ac:dyDescent="0.35">
      <c r="A3">
        <v>2</v>
      </c>
      <c r="B3">
        <v>3</v>
      </c>
    </row>
    <row r="4" spans="1:4" x14ac:dyDescent="0.35">
      <c r="A4">
        <v>3</v>
      </c>
      <c r="B4">
        <v>1</v>
      </c>
    </row>
    <row r="5" spans="1:4" x14ac:dyDescent="0.35">
      <c r="A5">
        <v>4</v>
      </c>
      <c r="B5">
        <v>4</v>
      </c>
    </row>
    <row r="6" spans="1:4" x14ac:dyDescent="0.35">
      <c r="A6">
        <v>5</v>
      </c>
      <c r="B6">
        <v>1</v>
      </c>
    </row>
    <row r="7" spans="1:4" x14ac:dyDescent="0.35">
      <c r="A7">
        <v>6</v>
      </c>
      <c r="B7">
        <v>0</v>
      </c>
    </row>
    <row r="8" spans="1:4" x14ac:dyDescent="0.35">
      <c r="A8">
        <v>7</v>
      </c>
      <c r="B8">
        <v>0</v>
      </c>
    </row>
    <row r="9" spans="1:4" x14ac:dyDescent="0.35">
      <c r="A9">
        <v>8</v>
      </c>
      <c r="B9">
        <v>3</v>
      </c>
    </row>
    <row r="10" spans="1:4" x14ac:dyDescent="0.35">
      <c r="A10">
        <v>9</v>
      </c>
      <c r="B10">
        <v>2</v>
      </c>
    </row>
    <row r="11" spans="1:4" x14ac:dyDescent="0.35">
      <c r="A11">
        <v>10</v>
      </c>
      <c r="B11">
        <v>6</v>
      </c>
    </row>
    <row r="12" spans="1:4" x14ac:dyDescent="0.35">
      <c r="A12">
        <v>11</v>
      </c>
      <c r="B12">
        <v>3</v>
      </c>
    </row>
    <row r="13" spans="1:4" x14ac:dyDescent="0.35">
      <c r="A13">
        <v>12</v>
      </c>
      <c r="B13">
        <v>4</v>
      </c>
    </row>
    <row r="14" spans="1:4" x14ac:dyDescent="0.35">
      <c r="A14">
        <v>13</v>
      </c>
    </row>
    <row r="15" spans="1:4" x14ac:dyDescent="0.35">
      <c r="A15">
        <v>14</v>
      </c>
      <c r="B15">
        <v>3</v>
      </c>
    </row>
    <row r="16" spans="1:4" x14ac:dyDescent="0.35">
      <c r="A16">
        <v>15</v>
      </c>
      <c r="B16">
        <v>1</v>
      </c>
    </row>
    <row r="17" spans="1:2" x14ac:dyDescent="0.35">
      <c r="A17">
        <v>16</v>
      </c>
      <c r="B17">
        <v>1</v>
      </c>
    </row>
    <row r="18" spans="1:2" x14ac:dyDescent="0.35">
      <c r="A18">
        <v>17</v>
      </c>
      <c r="B18">
        <v>3</v>
      </c>
    </row>
    <row r="19" spans="1:2" x14ac:dyDescent="0.35">
      <c r="A19">
        <v>18</v>
      </c>
      <c r="B19">
        <v>0</v>
      </c>
    </row>
    <row r="20" spans="1:2" x14ac:dyDescent="0.35">
      <c r="A20">
        <v>19</v>
      </c>
      <c r="B20">
        <v>1</v>
      </c>
    </row>
    <row r="21" spans="1:2" x14ac:dyDescent="0.35">
      <c r="A21">
        <v>20</v>
      </c>
      <c r="B21">
        <v>2</v>
      </c>
    </row>
    <row r="22" spans="1:2" x14ac:dyDescent="0.35">
      <c r="A22">
        <v>21</v>
      </c>
      <c r="B22">
        <v>2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2</v>
      </c>
    </row>
    <row r="25" spans="1:2" x14ac:dyDescent="0.35">
      <c r="A25">
        <v>24</v>
      </c>
      <c r="B25">
        <v>2</v>
      </c>
    </row>
    <row r="26" spans="1:2" x14ac:dyDescent="0.35">
      <c r="A26">
        <v>25</v>
      </c>
      <c r="B26">
        <v>1</v>
      </c>
    </row>
    <row r="27" spans="1:2" x14ac:dyDescent="0.35">
      <c r="A27">
        <v>26</v>
      </c>
      <c r="B27">
        <v>0</v>
      </c>
    </row>
    <row r="28" spans="1:2" x14ac:dyDescent="0.35">
      <c r="A28">
        <v>27</v>
      </c>
      <c r="B28">
        <v>1</v>
      </c>
    </row>
    <row r="29" spans="1:2" x14ac:dyDescent="0.35">
      <c r="A29">
        <v>28</v>
      </c>
      <c r="B29">
        <v>8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5</v>
      </c>
    </row>
    <row r="33" spans="1:2" x14ac:dyDescent="0.35">
      <c r="A33" s="4" t="s">
        <v>16</v>
      </c>
      <c r="B33">
        <f>AVERAGE(B2:B31)</f>
        <v>2.1379310344827585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Lattice Parameters</vt:lpstr>
      <vt:lpstr>Density</vt:lpstr>
      <vt:lpstr>Bond Strain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Teofilo Cobos Freire</cp:lastModifiedBy>
  <dcterms:created xsi:type="dcterms:W3CDTF">2021-01-04T09:53:56Z</dcterms:created>
  <dcterms:modified xsi:type="dcterms:W3CDTF">2023-07-21T19:24:17Z</dcterms:modified>
</cp:coreProperties>
</file>